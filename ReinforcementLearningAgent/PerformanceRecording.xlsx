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anya Personal\Connect4AI\ReinforcementLearningAgent\"/>
    </mc:Choice>
  </mc:AlternateContent>
  <xr:revisionPtr revIDLastSave="0" documentId="8_{1D210E18-3919-4116-A7F9-FD806C3CC684}" xr6:coauthVersionLast="47" xr6:coauthVersionMax="47" xr10:uidLastSave="{00000000-0000-0000-0000-000000000000}"/>
  <bookViews>
    <workbookView xWindow="-108" yWindow="-108" windowWidth="23256" windowHeight="13176" xr2:uid="{CBF796E7-C553-41BA-A3C4-FA889483A7FE}"/>
  </bookViews>
  <sheets>
    <sheet name="Benchmarking" sheetId="1" r:id="rId1"/>
    <sheet name="Roug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D17" i="1"/>
  <c r="D16" i="1"/>
  <c r="E9" i="1"/>
  <c r="E6" i="1"/>
  <c r="E7" i="1"/>
  <c r="E8" i="1"/>
  <c r="E3" i="1"/>
  <c r="E4" i="1"/>
  <c r="E5" i="1"/>
  <c r="E2" i="1"/>
</calcChain>
</file>

<file path=xl/sharedStrings.xml><?xml version="1.0" encoding="utf-8"?>
<sst xmlns="http://schemas.openxmlformats.org/spreadsheetml/2006/main" count="50" uniqueCount="23">
  <si>
    <t>Data collection time for iteration</t>
  </si>
  <si>
    <t>Config</t>
  </si>
  <si>
    <t>Metric</t>
  </si>
  <si>
    <t>Value</t>
  </si>
  <si>
    <t>Time to complete 1 iteration data collection (240 games)</t>
  </si>
  <si>
    <t>multi-processing (12 processes), GPU, ConvNet (16 filters, 5 residual blocks, num playouts=300, inference batch size=32)</t>
  </si>
  <si>
    <t>multi-processing (6 processes), GPU, ConvNet (16 filters, 5 residual blocks, num playouts=300, inference batch size=32)</t>
  </si>
  <si>
    <t>multi-processing (12 processes), GPU, ConvNet (16 filters, 5 residual blocks, num playouts=300, inference batch size=16)</t>
  </si>
  <si>
    <t>multi-processing (2 processes), GPU, ConvNet (16 filters, 5 residual blocks, num playouts=300, inference batch size=32)</t>
  </si>
  <si>
    <t>multi-processing (1 processes), GPU, ConvNet (16 filters, 5 residual blocks, num playouts=300, inference batch size=32)</t>
  </si>
  <si>
    <t>multi-processing (12 processes), GPU, ConvNet (16 filters, 5 residual blocks, num playouts=300, inference batch size=8)</t>
  </si>
  <si>
    <t>multi-processing (12 processes), GPU, ConvNet (16 filters, 5 residual blocks, num playouts=300, inference batch size=1)</t>
  </si>
  <si>
    <t>multi-processing (12 processes), GPU, ConvNet (16 filters, 5 residual blocks, num playouts=300, inference batch size=4)</t>
  </si>
  <si>
    <t>CPU, ConvNet (16 filters, 5 residual blocks, num playouts=300, inference batch size=1)</t>
  </si>
  <si>
    <t>Config compare</t>
  </si>
  <si>
    <t>CPU, ConvNet (16 filters, 5 residual blocks, num playouts=300, inference batch size=8)</t>
  </si>
  <si>
    <t>CPU, ConvNet (16 filters, 5 residual blocks, num playouts=300, inference batch size=32)</t>
  </si>
  <si>
    <t>Max diff in move probabilities</t>
  </si>
  <si>
    <t>Mean diff in move probabilities</t>
  </si>
  <si>
    <t>Frontend, without forgetting states</t>
  </si>
  <si>
    <t>Frontend, forgetting unreachable states</t>
  </si>
  <si>
    <t>MB heap peak (avg over 1000v1000, 2000v2000, 5000v5000)</t>
  </si>
  <si>
    <t>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</si>
</sst>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6E3B-B089-4E89-A813-843F50459184}">
  <dimension ref="A1:E17"/>
  <sheetViews>
    <sheetView tabSelected="1" workbookViewId="0">
      <selection activeCell="E2" sqref="E2"/>
    </sheetView>
  </sheetViews>
  <sheetFormatPr defaultRowHeight="14.4" x14ac:dyDescent="0.3"/>
  <cols>
    <col min="1" max="2" width="34.88671875" style="1" customWidth="1"/>
    <col min="3" max="3" width="52.5546875" customWidth="1"/>
    <col min="4" max="4" width="13.21875" customWidth="1"/>
  </cols>
  <sheetData>
    <row r="1" spans="1:5" x14ac:dyDescent="0.3">
      <c r="A1" s="1" t="s">
        <v>1</v>
      </c>
      <c r="B1" s="1" t="s">
        <v>14</v>
      </c>
      <c r="C1" t="s">
        <v>2</v>
      </c>
      <c r="D1" t="s">
        <v>3</v>
      </c>
      <c r="E1" t="s">
        <v>22</v>
      </c>
    </row>
    <row r="2" spans="1:5" ht="57.6" x14ac:dyDescent="0.3">
      <c r="A2" s="1" t="s">
        <v>5</v>
      </c>
      <c r="C2" t="s">
        <v>4</v>
      </c>
      <c r="D2">
        <v>45.5</v>
      </c>
      <c r="E2">
        <f>D2/$D$2</f>
        <v>1</v>
      </c>
    </row>
    <row r="3" spans="1:5" ht="57.6" x14ac:dyDescent="0.3">
      <c r="A3" s="1" t="s">
        <v>6</v>
      </c>
      <c r="C3" t="s">
        <v>4</v>
      </c>
      <c r="D3">
        <v>71.150000000000006</v>
      </c>
      <c r="E3">
        <f t="shared" ref="E3:E11" si="0">D3/$D$2</f>
        <v>1.563736263736264</v>
      </c>
    </row>
    <row r="4" spans="1:5" ht="57.6" x14ac:dyDescent="0.3">
      <c r="A4" s="1" t="s">
        <v>8</v>
      </c>
      <c r="C4" t="s">
        <v>4</v>
      </c>
      <c r="D4">
        <v>185.19</v>
      </c>
      <c r="E4">
        <f t="shared" si="0"/>
        <v>4.0701098901098902</v>
      </c>
    </row>
    <row r="5" spans="1:5" ht="57.6" x14ac:dyDescent="0.3">
      <c r="A5" s="1" t="s">
        <v>9</v>
      </c>
      <c r="C5" t="s">
        <v>4</v>
      </c>
      <c r="D5">
        <v>404.4</v>
      </c>
      <c r="E5">
        <f t="shared" si="0"/>
        <v>8.8879120879120865</v>
      </c>
    </row>
    <row r="6" spans="1:5" ht="57.6" x14ac:dyDescent="0.3">
      <c r="A6" s="1" t="s">
        <v>7</v>
      </c>
      <c r="C6" t="s">
        <v>4</v>
      </c>
      <c r="D6">
        <v>74.56</v>
      </c>
      <c r="E6">
        <f t="shared" si="0"/>
        <v>1.6386813186813187</v>
      </c>
    </row>
    <row r="7" spans="1:5" ht="57.6" x14ac:dyDescent="0.3">
      <c r="A7" s="1" t="s">
        <v>10</v>
      </c>
      <c r="C7" t="s">
        <v>4</v>
      </c>
      <c r="D7">
        <v>111.95</v>
      </c>
      <c r="E7">
        <f t="shared" si="0"/>
        <v>2.4604395604395606</v>
      </c>
    </row>
    <row r="8" spans="1:5" ht="57.6" x14ac:dyDescent="0.3">
      <c r="A8" s="1" t="s">
        <v>12</v>
      </c>
      <c r="C8" t="s">
        <v>4</v>
      </c>
      <c r="D8">
        <v>357.19</v>
      </c>
      <c r="E8">
        <f t="shared" si="0"/>
        <v>7.8503296703296703</v>
      </c>
    </row>
    <row r="9" spans="1:5" ht="57.6" x14ac:dyDescent="0.3">
      <c r="A9" s="1" t="s">
        <v>11</v>
      </c>
      <c r="C9" t="s">
        <v>4</v>
      </c>
      <c r="D9">
        <v>457.34</v>
      </c>
      <c r="E9">
        <f t="shared" si="0"/>
        <v>10.051428571428572</v>
      </c>
    </row>
    <row r="10" spans="1:5" ht="43.2" x14ac:dyDescent="0.3">
      <c r="A10" s="1" t="s">
        <v>13</v>
      </c>
      <c r="B10" s="1" t="s">
        <v>15</v>
      </c>
      <c r="C10" t="s">
        <v>17</v>
      </c>
      <c r="D10">
        <v>39.5</v>
      </c>
    </row>
    <row r="11" spans="1:5" ht="43.2" x14ac:dyDescent="0.3">
      <c r="A11" s="1" t="s">
        <v>15</v>
      </c>
      <c r="B11" s="1" t="s">
        <v>16</v>
      </c>
      <c r="C11" t="s">
        <v>17</v>
      </c>
      <c r="D11">
        <v>22.1</v>
      </c>
    </row>
    <row r="12" spans="1:5" ht="43.2" x14ac:dyDescent="0.3">
      <c r="A12" s="1" t="s">
        <v>13</v>
      </c>
      <c r="B12" s="1" t="s">
        <v>16</v>
      </c>
      <c r="C12" t="s">
        <v>17</v>
      </c>
      <c r="D12">
        <v>33.799999999999997</v>
      </c>
    </row>
    <row r="13" spans="1:5" ht="43.2" x14ac:dyDescent="0.3">
      <c r="A13" s="1" t="s">
        <v>13</v>
      </c>
      <c r="B13" s="1" t="s">
        <v>15</v>
      </c>
      <c r="C13" t="s">
        <v>18</v>
      </c>
      <c r="D13">
        <v>7.0000000000000001E-3</v>
      </c>
    </row>
    <row r="14" spans="1:5" ht="43.2" x14ac:dyDescent="0.3">
      <c r="A14" s="1" t="s">
        <v>15</v>
      </c>
      <c r="B14" s="1" t="s">
        <v>16</v>
      </c>
      <c r="C14" t="s">
        <v>18</v>
      </c>
      <c r="D14">
        <v>1.9E-2</v>
      </c>
    </row>
    <row r="15" spans="1:5" ht="43.2" x14ac:dyDescent="0.3">
      <c r="A15" s="1" t="s">
        <v>13</v>
      </c>
      <c r="B15" s="1" t="s">
        <v>16</v>
      </c>
      <c r="C15" t="s">
        <v>18</v>
      </c>
      <c r="D15">
        <v>2.4E-2</v>
      </c>
    </row>
    <row r="16" spans="1:5" x14ac:dyDescent="0.3">
      <c r="A16" s="1" t="s">
        <v>19</v>
      </c>
      <c r="C16" t="s">
        <v>21</v>
      </c>
      <c r="D16">
        <f>AVERAGE(253, 461, 300)</f>
        <v>338</v>
      </c>
    </row>
    <row r="17" spans="1:5" x14ac:dyDescent="0.3">
      <c r="A17" s="1" t="s">
        <v>20</v>
      </c>
      <c r="C17" t="s">
        <v>21</v>
      </c>
      <c r="D17">
        <f>AVERAGE(160, 160, 260)</f>
        <v>193.33333333333334</v>
      </c>
      <c r="E17">
        <f>D17/D16</f>
        <v>0.57199211045364895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A5E3-BE5C-4F97-8C49-BB5C3572F67D}">
  <dimension ref="A1:C7"/>
  <sheetViews>
    <sheetView workbookViewId="0">
      <selection activeCell="C1" sqref="C1:C7"/>
    </sheetView>
  </sheetViews>
  <sheetFormatPr defaultRowHeight="14.4" x14ac:dyDescent="0.3"/>
  <sheetData>
    <row r="1" spans="1:3" x14ac:dyDescent="0.3">
      <c r="A1" t="s">
        <v>0</v>
      </c>
      <c r="B1">
        <v>1</v>
      </c>
      <c r="C1">
        <v>77.489999999999995</v>
      </c>
    </row>
    <row r="2" spans="1:3" x14ac:dyDescent="0.3">
      <c r="A2" t="s">
        <v>0</v>
      </c>
      <c r="B2">
        <v>2</v>
      </c>
      <c r="C2">
        <v>78.400000000000006</v>
      </c>
    </row>
    <row r="3" spans="1:3" x14ac:dyDescent="0.3">
      <c r="A3" t="s">
        <v>0</v>
      </c>
      <c r="B3">
        <v>3</v>
      </c>
      <c r="C3">
        <v>72.31</v>
      </c>
    </row>
    <row r="4" spans="1:3" x14ac:dyDescent="0.3">
      <c r="A4" t="s">
        <v>0</v>
      </c>
      <c r="B4">
        <v>4</v>
      </c>
      <c r="C4">
        <v>70.56</v>
      </c>
    </row>
    <row r="5" spans="1:3" x14ac:dyDescent="0.3">
      <c r="A5" t="s">
        <v>0</v>
      </c>
      <c r="B5">
        <v>5</v>
      </c>
      <c r="C5">
        <v>66.489999999999995</v>
      </c>
    </row>
    <row r="6" spans="1:3" x14ac:dyDescent="0.3">
      <c r="A6" t="s">
        <v>0</v>
      </c>
      <c r="B6">
        <v>6</v>
      </c>
      <c r="C6">
        <v>65.94</v>
      </c>
    </row>
    <row r="7" spans="1:3" x14ac:dyDescent="0.3">
      <c r="A7" t="s">
        <v>0</v>
      </c>
      <c r="B7">
        <v>7</v>
      </c>
      <c r="C7">
        <v>66.91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Benchmarking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Ranka</dc:creator>
  <cp:lastModifiedBy>Sharanya Ranka</cp:lastModifiedBy>
  <dcterms:created xsi:type="dcterms:W3CDTF">2026-07-29T09:46:30Z</dcterms:created>
  <dcterms:modified xsi:type="dcterms:W3CDTF">2026-07-30T09:32:32Z</dcterms:modified>
</cp:coreProperties>
</file>